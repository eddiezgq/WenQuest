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记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3" authorId="0">
      <text>
        <r>
          <rPr>
            <sz val="10"/>
            <rFont val="Arial"/>
            <family val="2"/>
          </rPr>
          <t xml:space="preserve">T²–L </t>
        </r>
        <r>
          <rPr>
            <sz val="10"/>
            <rFont val="Noto Sans CJK SC"/>
            <family val="2"/>
          </rPr>
          <t xml:space="preserve">直线的斜率 </t>
        </r>
        <r>
          <rPr>
            <sz val="10"/>
            <rFont val="Arial"/>
            <family val="2"/>
          </rPr>
          <t xml:space="preserve">k = 4π²/g</t>
        </r>
        <r>
          <rPr>
            <sz val="10"/>
            <rFont val="Noto Sans CJK SC"/>
            <family val="2"/>
          </rPr>
          <t xml:space="preserve">，所以 </t>
        </r>
        <r>
          <rPr>
            <sz val="10"/>
            <rFont val="Arial"/>
            <family val="2"/>
          </rPr>
          <t xml:space="preserve">g = 4π²/k</t>
        </r>
        <r>
          <rPr>
            <sz val="10"/>
            <rFont val="Noto Sans CJK SC"/>
            <family val="2"/>
          </rPr>
          <t xml:space="preserve">。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<sst xmlns="http://schemas.openxmlformats.org/spreadsheetml/2006/main" count="18" uniqueCount="18">
  <si>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实验一  单摆法测定重力加速度  数据记录表</t>
  </si>
  <si>
    <r>
      <rPr>
        <sz val="11"/>
        <rFont val="Noto Sans CJK SC"/>
        <family val="2"/>
      </rPr>
      <t xml:space="preserve">姓名：</t>
    </r>
    <r>
      <rPr>
        <sz val="11"/>
        <rFont val="Arial"/>
        <family val="0"/>
        <charset val="1"/>
      </rPr>
      <t xml:space="preserve">________   </t>
    </r>
    <r>
      <rPr>
        <sz val="11"/>
        <rFont val="Noto Sans CJK SC"/>
        <family val="2"/>
      </rPr>
      <t xml:space="preserve">学号：</t>
    </r>
    <r>
      <rPr>
        <sz val="11"/>
        <rFont val="Arial"/>
        <family val="0"/>
        <charset val="1"/>
      </rPr>
      <t xml:space="preserve">________   </t>
    </r>
    <r>
      <rPr>
        <sz val="11"/>
        <rFont val="Noto Sans CJK SC"/>
        <family val="2"/>
      </rPr>
      <t xml:space="preserve">日期：</t>
    </r>
    <r>
      <rPr>
        <sz val="11"/>
        <rFont val="Arial"/>
        <family val="0"/>
        <charset val="1"/>
      </rPr>
      <t xml:space="preserve">________</t>
    </r>
  </si>
  <si>
    <r>
      <rPr>
        <i val="true"/>
        <sz val="11"/>
        <color rgb="FF777777"/>
        <rFont val="Noto Sans CJK SC"/>
        <family val="2"/>
      </rPr>
      <t xml:space="preserve">黄色格子填测量值；其余格子自动计算。第 </t>
    </r>
    <r>
      <rPr>
        <i val="true"/>
        <sz val="11"/>
        <color rgb="FF777777"/>
        <rFont val="Arial"/>
        <family val="0"/>
        <charset val="1"/>
      </rPr>
      <t xml:space="preserve">5 </t>
    </r>
    <r>
      <rPr>
        <i val="true"/>
        <sz val="11"/>
        <color rgb="FF777777"/>
        <rFont val="Noto Sans CJK SC"/>
        <family val="2"/>
      </rPr>
      <t xml:space="preserve">行是示例数据，做实验时请覆盖。</t>
    </r>
  </si>
  <si>
    <t xml:space="preserve">序号</t>
  </si>
  <si>
    <r>
      <rPr>
        <b val="true"/>
        <sz val="11"/>
        <rFont val="Noto Sans CJK SC"/>
        <family val="2"/>
      </rPr>
      <t xml:space="preserve">线长 </t>
    </r>
    <r>
      <rPr>
        <b val="true"/>
        <sz val="11"/>
        <rFont val="Arial"/>
        <family val="0"/>
        <charset val="1"/>
      </rPr>
      <t xml:space="preserve">l / cm</t>
    </r>
  </si>
  <si>
    <r>
      <rPr>
        <b val="true"/>
        <sz val="11"/>
        <rFont val="Noto Sans CJK SC"/>
        <family val="2"/>
      </rPr>
      <t xml:space="preserve">小球直径 </t>
    </r>
    <r>
      <rPr>
        <b val="true"/>
        <sz val="11"/>
        <rFont val="Arial"/>
        <family val="0"/>
        <charset val="1"/>
      </rPr>
      <t xml:space="preserve">d / cm</t>
    </r>
  </si>
  <si>
    <r>
      <rPr>
        <b val="true"/>
        <sz val="11"/>
        <rFont val="Noto Sans CJK SC"/>
        <family val="2"/>
      </rPr>
      <t xml:space="preserve">摆长 </t>
    </r>
    <r>
      <rPr>
        <b val="true"/>
        <sz val="11"/>
        <rFont val="Arial"/>
        <family val="0"/>
        <charset val="1"/>
      </rPr>
      <t xml:space="preserve">L / m</t>
    </r>
  </si>
  <si>
    <r>
      <rPr>
        <b val="true"/>
        <sz val="11"/>
        <rFont val="Arial"/>
        <family val="0"/>
        <charset val="1"/>
      </rPr>
      <t xml:space="preserve">30T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次 </t>
    </r>
    <r>
      <rPr>
        <b val="true"/>
        <sz val="11"/>
        <rFont val="Arial"/>
        <family val="0"/>
        <charset val="1"/>
      </rPr>
      <t xml:space="preserve">/ s</t>
    </r>
  </si>
  <si>
    <r>
      <rPr>
        <b val="true"/>
        <sz val="11"/>
        <rFont val="Arial"/>
        <family val="0"/>
        <charset val="1"/>
      </rPr>
      <t xml:space="preserve">30T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次 </t>
    </r>
    <r>
      <rPr>
        <b val="true"/>
        <sz val="11"/>
        <rFont val="Arial"/>
        <family val="0"/>
        <charset val="1"/>
      </rPr>
      <t xml:space="preserve">/ s</t>
    </r>
  </si>
  <si>
    <r>
      <rPr>
        <b val="true"/>
        <sz val="11"/>
        <rFont val="Arial"/>
        <family val="0"/>
        <charset val="1"/>
      </rPr>
      <t xml:space="preserve">30T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次 </t>
    </r>
    <r>
      <rPr>
        <b val="true"/>
        <sz val="11"/>
        <rFont val="Arial"/>
        <family val="0"/>
        <charset val="1"/>
      </rPr>
      <t xml:space="preserve">/ s</t>
    </r>
  </si>
  <si>
    <r>
      <rPr>
        <b val="true"/>
        <sz val="11"/>
        <rFont val="Noto Sans CJK SC"/>
        <family val="2"/>
      </rPr>
      <t xml:space="preserve">周期 </t>
    </r>
    <r>
      <rPr>
        <b val="true"/>
        <sz val="11"/>
        <rFont val="Arial"/>
        <family val="0"/>
        <charset val="1"/>
      </rPr>
      <t xml:space="preserve">T / s</t>
    </r>
  </si>
  <si>
    <t xml:space="preserve">T² / s²</t>
  </si>
  <si>
    <t xml:space="preserve">g / (m/s²)</t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</si>
  <si>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Arial"/>
        <family val="0"/>
        <charset val="1"/>
      </rPr>
      <t xml:space="preserve">g</t>
    </r>
  </si>
  <si>
    <r>
      <rPr>
        <b val="true"/>
        <sz val="11"/>
        <rFont val="Noto Sans CJK SC"/>
        <family val="2"/>
      </rPr>
      <t xml:space="preserve">作图法 </t>
    </r>
    <r>
      <rPr>
        <b val="true"/>
        <sz val="11"/>
        <rFont val="Arial"/>
        <family val="0"/>
        <charset val="1"/>
      </rPr>
      <t xml:space="preserve">g</t>
    </r>
  </si>
  <si>
    <t xml:space="preserve">参考值</t>
  </si>
  <si>
    <t xml:space="preserve">当地参考值，由实验室提供</t>
  </si>
  <si>
    <t xml:space="preserve">相对误差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</si>
</sst>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i val="true"/>
      <sz val="11"/>
      <color rgb="FF777777"/>
      <name val="Noto Sans CJK SC"/>
      <family val="2"/>
    </font>
    <font>
      <i val="true"/>
      <sz val="11"/>
      <color rgb="FF777777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sz val="10"/>
      <name val="Arial"/>
      <family val="2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0"/>
        <bgColor rgb="FFFFF7D6"/>
      </patternFill>
    </fill>
    <fill>
      <patternFill patternType="solid">
        <fgColor rgb="FFFFF7D6"/>
        <bgColor rgb="FFE8EE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8"/>
      </left>
      <right style="thin">
        <color rgb="FFB8C4C8"/>
      </right>
      <top style="thin">
        <color rgb="FFB8C4C8"/>
      </top>
      <bottom style="thin">
        <color rgb="FFB8C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8"/>
      <rgbColor rgb="FF777777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29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4" t="s">
        <v>10</v>
      </c>
      <c r="I4" s="5" t="s">
        <v>11</v>
      </c>
      <c r="J4" s="5" t="s">
        <v>12</v>
      </c>
    </row>
    <row r="5" customFormat="false" ht="15" hidden="false" customHeight="false" outlineLevel="0" collapsed="false">
      <c r="A5" s="6" t="n">
        <v>1</v>
      </c>
      <c r="B5" s="7" t="n">
        <v>48.8</v>
      </c>
      <c r="C5" s="7" t="n">
        <v>2.4</v>
      </c>
      <c r="D5" s="8" t="n">
        <f aca="false">(B5+C5/2)/100</f>
        <v>0.5</v>
      </c>
      <c r="E5" s="7" t="n">
        <v>42.55</v>
      </c>
      <c r="F5" s="7" t="n">
        <v>42.45</v>
      </c>
      <c r="G5" s="7" t="n">
        <v>42.51</v>
      </c>
      <c r="H5" s="8" t="n">
        <f aca="false">AVERAGE(E5:G5)/30</f>
        <v>1.41677777777778</v>
      </c>
      <c r="I5" s="8" t="n">
        <f aca="false">H5^2</f>
        <v>2.00725927160494</v>
      </c>
      <c r="J5" s="9" t="n">
        <f aca="false">4*PI()^2*D5/I5</f>
        <v>9.83391088605903</v>
      </c>
    </row>
    <row r="6" customFormat="false" ht="15" hidden="false" customHeight="false" outlineLevel="0" collapsed="false">
      <c r="A6" s="6" t="n">
        <v>2</v>
      </c>
      <c r="B6" s="7" t="n">
        <v>58.8</v>
      </c>
      <c r="C6" s="7" t="n">
        <v>2.4</v>
      </c>
      <c r="D6" s="8" t="n">
        <f aca="false">(B6+C6/2)/100</f>
        <v>0.6</v>
      </c>
      <c r="E6" s="7" t="n">
        <v>46.5</v>
      </c>
      <c r="F6" s="7" t="n">
        <v>46.58</v>
      </c>
      <c r="G6" s="7" t="n">
        <v>46.63</v>
      </c>
      <c r="H6" s="8" t="n">
        <f aca="false">AVERAGE(E6:G6)/30</f>
        <v>1.55233333333333</v>
      </c>
      <c r="I6" s="8" t="n">
        <f aca="false">H6^2</f>
        <v>2.40973877777778</v>
      </c>
      <c r="J6" s="9" t="n">
        <f aca="false">4*PI()^2*D6/I6</f>
        <v>9.82971713824445</v>
      </c>
    </row>
    <row r="7" customFormat="false" ht="15" hidden="false" customHeight="false" outlineLevel="0" collapsed="false">
      <c r="A7" s="6" t="n">
        <v>3</v>
      </c>
      <c r="B7" s="7" t="n">
        <v>68.8</v>
      </c>
      <c r="C7" s="7" t="n">
        <v>2.4</v>
      </c>
      <c r="D7" s="8" t="n">
        <f aca="false">(B7+C7/2)/100</f>
        <v>0.7</v>
      </c>
      <c r="E7" s="7" t="n">
        <v>50.32</v>
      </c>
      <c r="F7" s="7" t="n">
        <v>50.22</v>
      </c>
      <c r="G7" s="7" t="n">
        <v>50.29</v>
      </c>
      <c r="H7" s="8" t="n">
        <f aca="false">AVERAGE(E7:G7)/30</f>
        <v>1.67588888888889</v>
      </c>
      <c r="I7" s="8" t="n">
        <f aca="false">H7^2</f>
        <v>2.80860356790123</v>
      </c>
      <c r="J7" s="9" t="n">
        <f aca="false">4*PI()^2*D7/I7</f>
        <v>9.839370938242</v>
      </c>
    </row>
    <row r="8" customFormat="false" ht="15" hidden="false" customHeight="false" outlineLevel="0" collapsed="false">
      <c r="A8" s="6" t="n">
        <v>4</v>
      </c>
      <c r="B8" s="7" t="n">
        <v>78.8</v>
      </c>
      <c r="C8" s="7" t="n">
        <v>2.4</v>
      </c>
      <c r="D8" s="8" t="n">
        <f aca="false">(B8+C8/2)/100</f>
        <v>0.8</v>
      </c>
      <c r="E8" s="7" t="n">
        <v>53.72</v>
      </c>
      <c r="F8" s="7" t="n">
        <v>53.82</v>
      </c>
      <c r="G8" s="7" t="n">
        <v>53.73</v>
      </c>
      <c r="H8" s="8" t="n">
        <f aca="false">AVERAGE(E8:G8)/30</f>
        <v>1.79188888888889</v>
      </c>
      <c r="I8" s="8" t="n">
        <f aca="false">H8^2</f>
        <v>3.21086579012346</v>
      </c>
      <c r="J8" s="9" t="n">
        <f aca="false">4*PI()^2*D8/I8</f>
        <v>9.83620498266656</v>
      </c>
    </row>
    <row r="9" customFormat="false" ht="15" hidden="false" customHeight="false" outlineLevel="0" collapsed="false">
      <c r="A9" s="6" t="n">
        <v>5</v>
      </c>
      <c r="B9" s="7" t="n">
        <v>88.8</v>
      </c>
      <c r="C9" s="7" t="n">
        <v>2.4</v>
      </c>
      <c r="D9" s="8" t="n">
        <f aca="false">(B9+C9/2)/100</f>
        <v>0.9</v>
      </c>
      <c r="E9" s="7" t="n">
        <v>57.06</v>
      </c>
      <c r="F9" s="7" t="n">
        <v>57.03</v>
      </c>
      <c r="G9" s="7" t="n">
        <v>56.94</v>
      </c>
      <c r="H9" s="8" t="n">
        <f aca="false">AVERAGE(E9:G9)/30</f>
        <v>1.90033333333333</v>
      </c>
      <c r="I9" s="8" t="n">
        <f aca="false">H9^2</f>
        <v>3.61126677777778</v>
      </c>
      <c r="J9" s="9" t="n">
        <f aca="false">4*PI()^2*D9/I9</f>
        <v>9.83881225905601</v>
      </c>
    </row>
    <row r="10" customFormat="false" ht="15" hidden="false" customHeight="false" outlineLevel="0" collapsed="false">
      <c r="A10" s="6" t="n">
        <v>6</v>
      </c>
      <c r="B10" s="7" t="n">
        <v>98.8</v>
      </c>
      <c r="C10" s="7" t="n">
        <v>2.4</v>
      </c>
      <c r="D10" s="8" t="n">
        <f aca="false">(B10+C10/2)/100</f>
        <v>1</v>
      </c>
      <c r="E10" s="7" t="n">
        <v>60.05</v>
      </c>
      <c r="F10" s="7" t="n">
        <v>60.15</v>
      </c>
      <c r="G10" s="7" t="n">
        <v>60.12</v>
      </c>
      <c r="H10" s="8" t="n">
        <f aca="false">AVERAGE(E10:G10)/30</f>
        <v>2.00355555555556</v>
      </c>
      <c r="I10" s="8" t="n">
        <f aca="false">H10^2</f>
        <v>4.01423486419753</v>
      </c>
      <c r="J10" s="9" t="n">
        <f aca="false">4*PI()^2*D10/I10</f>
        <v>9.83460583147753</v>
      </c>
    </row>
    <row r="12" customFormat="false" ht="17.15" hidden="false" customHeight="false" outlineLevel="0" collapsed="false">
      <c r="I12" s="10" t="s">
        <v>13</v>
      </c>
      <c r="J12" s="11" t="n">
        <f aca="false">AVERAGE(J5:J10)</f>
        <v>9.8354370059576</v>
      </c>
    </row>
    <row r="13" customFormat="false" ht="17.15" hidden="false" customHeight="false" outlineLevel="0" collapsed="false">
      <c r="I13" s="10" t="s">
        <v>14</v>
      </c>
      <c r="J13" s="11" t="n">
        <f aca="false">4*PI()^2/SLOPE(I5:I10,D5:D10)</f>
        <v>9.84027743266977</v>
      </c>
    </row>
    <row r="14" customFormat="false" ht="15" hidden="false" customHeight="false" outlineLevel="0" collapsed="false">
      <c r="I14" s="12" t="s">
        <v>15</v>
      </c>
      <c r="J14" s="13" t="n">
        <v>9.79</v>
      </c>
      <c r="K14" s="3" t="s">
        <v>16</v>
      </c>
    </row>
    <row r="15" customFormat="false" ht="15" hidden="false" customHeight="false" outlineLevel="0" collapsed="false">
      <c r="I15" s="12" t="s">
        <v>17</v>
      </c>
      <c r="J15" s="14" t="n">
        <f aca="false">ABS(J13-J14)/J14</f>
        <v>0.00513559067106943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2026-09-28T01:48:55Z</dcterms:created>
  <dc:creator>openpyxl</dc:creator>
  <dc:description/>
  <dc:language>en-US</dc:language>
  <cp:lastModifiedBy/>
  <dcterms:modified xsi:type="dcterms:W3CDTF">2026-09-28T01:48:55Z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