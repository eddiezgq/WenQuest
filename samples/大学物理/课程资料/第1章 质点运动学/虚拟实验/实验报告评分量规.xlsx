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量规 Rubric" sheetId="1" state="visible" r:id="rId1"/>
    <sheet xmlns:r="http://schemas.openxmlformats.org/officeDocument/2006/relationships" name="成绩登记 Scores"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sz val="13"/>
    </font>
    <font>
      <name val="Arial"/>
      <i val="1"/>
      <color rgb="00555555"/>
    </font>
    <font>
      <name val="Arial"/>
      <b val="1"/>
    </font>
    <font>
      <name val="Arial"/>
    </font>
    <font>
      <name val="Arial"/>
      <b val="1"/>
      <sz val="12"/>
    </font>
    <font>
      <name val="Arial"/>
      <color rgb="00000000"/>
    </font>
    <font>
      <name val="Arial"/>
      <color rgb="000000FF"/>
    </font>
  </fonts>
  <fills count="4">
    <fill>
      <patternFill/>
    </fill>
    <fill>
      <patternFill patternType="gray125"/>
    </fill>
    <fill>
      <patternFill patternType="solid">
        <fgColor rgb="00E8EEF0"/>
      </patternFill>
    </fill>
    <fill>
      <patternFill patternType="solid">
        <fgColor rgb="00FFF7D6"/>
      </patternFill>
    </fill>
  </fills>
  <borders count="2">
    <border>
      <left/>
      <right/>
      <top/>
      <bottom/>
      <diagonal/>
    </border>
    <border>
      <left style="thin">
        <color rgb="00B8C4C8"/>
      </left>
      <right style="thin">
        <color rgb="00B8C4C8"/>
      </right>
      <top style="thin">
        <color rgb="00B8C4C8"/>
      </top>
      <bottom style="thin">
        <color rgb="00B8C4C8"/>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center" wrapText="1"/>
    </xf>
    <xf numFmtId="0" fontId="3" fillId="0" borderId="0" pivotButton="0" quotePrefix="0" xfId="0"/>
    <xf numFmtId="0" fontId="5" fillId="0" borderId="0" pivotButton="0" quotePrefix="0" xfId="0"/>
    <xf numFmtId="0" fontId="3" fillId="2" borderId="1" applyAlignment="1" pivotButton="0" quotePrefix="0" xfId="0">
      <alignment horizontal="center" wrapText="1"/>
    </xf>
    <xf numFmtId="164" fontId="0" fillId="0" borderId="0" pivotButton="0" quotePrefix="0" xfId="0"/>
    <xf numFmtId="0" fontId="6" fillId="0" borderId="1" pivotButton="0" quotePrefix="0" xfId="0"/>
    <xf numFmtId="0" fontId="7" fillId="3"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0" customWidth="1" min="1" max="1"/>
    <col width="11" customWidth="1" min="2" max="2"/>
    <col width="52" customWidth="1" min="3" max="3"/>
    <col width="34" customWidth="1" min="4" max="4"/>
    <col width="28" customWidth="1" min="5" max="5"/>
  </cols>
  <sheetData>
    <row r="1">
      <c r="A1" s="1" t="inlineStr">
        <is>
          <t>虚拟实验报告评分量规  Virtual Lab Report Rubric</t>
        </is>
      </c>
    </row>
    <row r="2">
      <c r="A2" s="2" t="inlineStr">
        <is>
          <t>AI 按本量规给出评分建议，教师复核后发布。 AI suggests scores against this rubric; the teacher reviews before release.</t>
        </is>
      </c>
    </row>
    <row r="4">
      <c r="A4" s="3" t="inlineStr">
        <is>
          <t>评分项目 Criterion</t>
        </is>
      </c>
      <c r="B4" s="3" t="inlineStr">
        <is>
          <t>满分 Points</t>
        </is>
      </c>
      <c r="C4" s="3" t="inlineStr">
        <is>
          <t>优秀（满分） Excellent</t>
        </is>
      </c>
      <c r="D4" s="3" t="inlineStr">
        <is>
          <t>合格（约一半） Adequate</t>
        </is>
      </c>
      <c r="E4" s="3" t="inlineStr">
        <is>
          <t>不合格（0 分） Missing</t>
        </is>
      </c>
    </row>
    <row r="5" ht="48" customHeight="1">
      <c r="A5" s="4" t="inlineStr">
        <is>
          <t>原理 Principles</t>
        </is>
      </c>
      <c r="B5" s="4" t="n">
        <v>20</v>
      </c>
      <c r="C5" s="4" t="inlineStr">
        <is>
          <t>公式正确，说明每个量的物理意义和适用条件
Correct formulas; meaning and conditions explained</t>
        </is>
      </c>
      <c r="D5" s="4" t="inlineStr">
        <is>
          <t>公式基本正确，缺少适用条件
Mostly correct; conditions missing</t>
        </is>
      </c>
      <c r="E5" s="4" t="inlineStr">
        <is>
          <t>公式错误或缺失
Wrong or missing</t>
        </is>
      </c>
    </row>
    <row r="6" ht="48" customHeight="1">
      <c r="A6" s="4" t="inlineStr">
        <is>
          <t>数据 Data</t>
        </is>
      </c>
      <c r="B6" s="4" t="n">
        <v>25</v>
      </c>
      <c r="C6" s="4" t="inlineStr">
        <is>
          <t>数据表填写完整，单位、有效数字规范，有至少一张图
Complete tables, correct units and significant figures, at least one graph</t>
        </is>
      </c>
      <c r="D6" s="4" t="inlineStr">
        <is>
          <t>数据有缺项或单位不规范
Gaps or unit problems</t>
        </is>
      </c>
      <c r="E6" s="4" t="inlineStr">
        <is>
          <t>无数据
No data</t>
        </is>
      </c>
    </row>
    <row r="7" ht="48" customHeight="1">
      <c r="A7" s="4" t="inlineStr">
        <is>
          <t>分析 Analysis</t>
        </is>
      </c>
      <c r="B7" s="4" t="n">
        <v>25</v>
      </c>
      <c r="C7" s="4" t="inlineStr">
        <is>
          <t>逐项比较测量值与理论值，给出相对误差并分析来源
Measured vs theory item by item, relative errors and their sources</t>
        </is>
      </c>
      <c r="D7" s="4" t="inlineStr">
        <is>
          <t>有比较但缺误差分析
Comparison without error analysis</t>
        </is>
      </c>
      <c r="E7" s="4" t="inlineStr">
        <is>
          <t>无分析
No analysis</t>
        </is>
      </c>
    </row>
    <row r="8" ht="48" customHeight="1">
      <c r="A8" s="4" t="inlineStr">
        <is>
          <t>实际问题 Real problem</t>
        </is>
      </c>
      <c r="B8" s="4" t="n">
        <v>20</v>
      </c>
      <c r="C8" s="4" t="inlineStr">
        <is>
          <t>五步完整：问题、模型（写明假设）、求解、实验检验、模型局限与改进
All five steps: problem, model with assumptions, solution, lab check, limits and improvements</t>
        </is>
      </c>
      <c r="D8" s="4" t="inlineStr">
        <is>
          <t>有求解但缺假设或局限
Solved but assumptions or limits missing</t>
        </is>
      </c>
      <c r="E8" s="4" t="inlineStr">
        <is>
          <t>未完成
Not attempted</t>
        </is>
      </c>
    </row>
    <row r="9" ht="48" customHeight="1">
      <c r="A9" s="4" t="inlineStr">
        <is>
          <t>规范 Presentation</t>
        </is>
      </c>
      <c r="B9" s="4" t="n">
        <v>10</v>
      </c>
      <c r="C9" s="4" t="inlineStr">
        <is>
          <t>书写清楚，图表规范，AI 使用如实声明
Clear writing and graphs, honest AI statement</t>
        </is>
      </c>
      <c r="D9" s="4" t="inlineStr">
        <is>
          <t>基本清楚
Mostly clear</t>
        </is>
      </c>
      <c r="E9" s="4" t="inlineStr">
        <is>
          <t>难以辨认或未声明 AI 使用
Illegible or no AI statement</t>
        </is>
      </c>
    </row>
    <row r="10">
      <c r="A10" s="5" t="inlineStr">
        <is>
          <t>合计 Total</t>
        </is>
      </c>
      <c r="B10" s="5">
        <f>SUM(B5:B9)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ySplit="3" topLeftCell="A4" activePane="bottomLeft" state="frozen"/>
      <selection pane="bottomLeft" activeCell="A1" sqref="A1"/>
    </sheetView>
  </sheetViews>
  <sheetFormatPr baseColWidth="8" defaultRowHeight="15"/>
  <cols>
    <col width="11" customWidth="1" min="1" max="1"/>
    <col width="14" customWidth="1" min="2" max="2"/>
    <col width="8" customWidth="1" min="3" max="3"/>
    <col width="9" customWidth="1" min="4" max="4"/>
    <col width="9" customWidth="1" min="5" max="5"/>
    <col width="9" customWidth="1" min="6" max="6"/>
    <col width="11" customWidth="1" min="7" max="7"/>
    <col width="9" customWidth="1" min="8" max="8"/>
    <col width="10" customWidth="1" min="9" max="9"/>
    <col width="12" customWidth="1" min="10" max="10"/>
    <col width="2" customWidth="1" min="11" max="11"/>
    <col width="22" customWidth="1" min="12" max="12"/>
    <col width="10" customWidth="1" min="13" max="13"/>
  </cols>
  <sheetData>
    <row r="1">
      <c r="A1" s="6" t="inlineStr">
        <is>
          <t>第 1 章实验报告成绩登记（示例数据，请替换） Chapter 1 lab report scores (sample rows—replace)</t>
        </is>
      </c>
    </row>
    <row r="3">
      <c r="A3" s="7" t="inlineStr">
        <is>
          <t>学号 ID</t>
        </is>
      </c>
      <c r="B3" s="7" t="inlineStr">
        <is>
          <t>姓名 Name</t>
        </is>
      </c>
      <c r="C3" s="7" t="inlineStr">
        <is>
          <t>实验 Lab</t>
        </is>
      </c>
      <c r="D3" s="7" t="inlineStr">
        <is>
          <t>原理 /20</t>
        </is>
      </c>
      <c r="E3" s="7" t="inlineStr">
        <is>
          <t>数据 /25</t>
        </is>
      </c>
      <c r="F3" s="7" t="inlineStr">
        <is>
          <t>分析 /25</t>
        </is>
      </c>
      <c r="G3" s="7" t="inlineStr">
        <is>
          <t>实际问题 /20</t>
        </is>
      </c>
      <c r="H3" s="7" t="inlineStr">
        <is>
          <t>规范 /10</t>
        </is>
      </c>
      <c r="I3" s="7" t="inlineStr">
        <is>
          <t>总分 Total</t>
        </is>
      </c>
      <c r="J3" s="7" t="inlineStr">
        <is>
          <t>等级 Grade</t>
        </is>
      </c>
      <c r="L3" s="5" t="inlineStr">
        <is>
          <t>班级平均 Class average</t>
        </is>
      </c>
      <c r="M3" s="8">
        <f>IFERROR(AVERAGE(I4:I43),"")</f>
        <v/>
      </c>
    </row>
    <row r="4">
      <c r="A4" s="9" t="inlineStr">
        <is>
          <t>2026001</t>
        </is>
      </c>
      <c r="B4" s="9" t="inlineStr">
        <is>
          <t>示例学生 A</t>
        </is>
      </c>
      <c r="C4" s="9" t="inlineStr">
        <is>
          <t>1.3</t>
        </is>
      </c>
      <c r="D4" s="10" t="n">
        <v>18</v>
      </c>
      <c r="E4" s="10" t="n">
        <v>22</v>
      </c>
      <c r="F4" s="10" t="n">
        <v>20</v>
      </c>
      <c r="G4" s="10" t="n">
        <v>17</v>
      </c>
      <c r="H4" s="10" t="n">
        <v>9</v>
      </c>
      <c r="I4" s="11">
        <f>IF(COUNT(D4:H4)=0,"",SUM(D4:H4))</f>
        <v/>
      </c>
      <c r="J4" s="11">
        <f>IF(I4="","",IF(I4&gt;=90,"优秀 A",IF(I4&gt;=80,"良好 B",IF(I4&gt;=70,"中等 C",IF(I4&gt;=60,"及格 D","不及格 F")))))</f>
        <v/>
      </c>
      <c r="L4" t="inlineStr">
        <is>
          <t>实际问题平均 /20</t>
        </is>
      </c>
      <c r="M4" s="8">
        <f>IFERROR(AVERAGE(G4:G43),"")</f>
        <v/>
      </c>
    </row>
    <row r="5">
      <c r="A5" s="9" t="inlineStr">
        <is>
          <t>2026002</t>
        </is>
      </c>
      <c r="B5" s="9" t="inlineStr">
        <is>
          <t>示例学生 B</t>
        </is>
      </c>
      <c r="C5" s="9" t="inlineStr">
        <is>
          <t>1.4</t>
        </is>
      </c>
      <c r="D5" s="10" t="n">
        <v>15</v>
      </c>
      <c r="E5" s="10" t="n">
        <v>20</v>
      </c>
      <c r="F5" s="10" t="n">
        <v>14</v>
      </c>
      <c r="G5" s="10" t="n">
        <v>12</v>
      </c>
      <c r="H5" s="10" t="n">
        <v>8</v>
      </c>
      <c r="I5" s="11">
        <f>IF(COUNT(D5:H5)=0,"",SUM(D5:H5))</f>
        <v/>
      </c>
      <c r="J5" s="11">
        <f>IF(I5="","",IF(I5&gt;=90,"优秀 A",IF(I5&gt;=80,"良好 B",IF(I5&gt;=70,"中等 C",IF(I5&gt;=60,"及格 D","不及格 F")))))</f>
        <v/>
      </c>
    </row>
    <row r="6">
      <c r="A6" s="9" t="inlineStr">
        <is>
          <t>2026003</t>
        </is>
      </c>
      <c r="B6" s="9" t="inlineStr">
        <is>
          <t>示例学生 C</t>
        </is>
      </c>
      <c r="C6" s="9" t="inlineStr">
        <is>
          <t>1.5</t>
        </is>
      </c>
      <c r="D6" s="10" t="n">
        <v>20</v>
      </c>
      <c r="E6" s="10" t="n">
        <v>24</v>
      </c>
      <c r="F6" s="10" t="n">
        <v>23</v>
      </c>
      <c r="G6" s="10" t="n">
        <v>19</v>
      </c>
      <c r="H6" s="10" t="n">
        <v>10</v>
      </c>
      <c r="I6" s="11">
        <f>IF(COUNT(D6:H6)=0,"",SUM(D6:H6))</f>
        <v/>
      </c>
      <c r="J6" s="11">
        <f>IF(I6="","",IF(I6&gt;=90,"优秀 A",IF(I6&gt;=80,"良好 B",IF(I6&gt;=70,"中等 C",IF(I6&gt;=60,"及格 D","不及格 F")))))</f>
        <v/>
      </c>
    </row>
    <row r="7">
      <c r="A7" s="9" t="n"/>
      <c r="B7" s="9" t="n"/>
      <c r="C7" s="9" t="n"/>
      <c r="D7" s="10" t="n"/>
      <c r="E7" s="10" t="n"/>
      <c r="F7" s="10" t="n"/>
      <c r="G7" s="10" t="n"/>
      <c r="H7" s="10" t="n"/>
      <c r="I7" s="11">
        <f>IF(COUNT(D7:H7)=0,"",SUM(D7:H7))</f>
        <v/>
      </c>
      <c r="J7" s="11">
        <f>IF(I7="","",IF(I7&gt;=90,"优秀 A",IF(I7&gt;=80,"良好 B",IF(I7&gt;=70,"中等 C",IF(I7&gt;=60,"及格 D","不及格 F")))))</f>
        <v/>
      </c>
    </row>
    <row r="8">
      <c r="A8" s="9" t="n"/>
      <c r="B8" s="9" t="n"/>
      <c r="C8" s="9" t="n"/>
      <c r="D8" s="10" t="n"/>
      <c r="E8" s="10" t="n"/>
      <c r="F8" s="10" t="n"/>
      <c r="G8" s="10" t="n"/>
      <c r="H8" s="10" t="n"/>
      <c r="I8" s="11">
        <f>IF(COUNT(D8:H8)=0,"",SUM(D8:H8))</f>
        <v/>
      </c>
      <c r="J8" s="11">
        <f>IF(I8="","",IF(I8&gt;=90,"优秀 A",IF(I8&gt;=80,"良好 B",IF(I8&gt;=70,"中等 C",IF(I8&gt;=60,"及格 D","不及格 F")))))</f>
        <v/>
      </c>
    </row>
    <row r="9">
      <c r="A9" s="9" t="n"/>
      <c r="B9" s="9" t="n"/>
      <c r="C9" s="9" t="n"/>
      <c r="D9" s="10" t="n"/>
      <c r="E9" s="10" t="n"/>
      <c r="F9" s="10" t="n"/>
      <c r="G9" s="10" t="n"/>
      <c r="H9" s="10" t="n"/>
      <c r="I9" s="11">
        <f>IF(COUNT(D9:H9)=0,"",SUM(D9:H9))</f>
        <v/>
      </c>
      <c r="J9" s="11">
        <f>IF(I9="","",IF(I9&gt;=90,"优秀 A",IF(I9&gt;=80,"良好 B",IF(I9&gt;=70,"中等 C",IF(I9&gt;=60,"及格 D","不及格 F")))))</f>
        <v/>
      </c>
    </row>
    <row r="10">
      <c r="A10" s="9" t="n"/>
      <c r="B10" s="9" t="n"/>
      <c r="C10" s="9" t="n"/>
      <c r="D10" s="10" t="n"/>
      <c r="E10" s="10" t="n"/>
      <c r="F10" s="10" t="n"/>
      <c r="G10" s="10" t="n"/>
      <c r="H10" s="10" t="n"/>
      <c r="I10" s="11">
        <f>IF(COUNT(D10:H10)=0,"",SUM(D10:H10))</f>
        <v/>
      </c>
      <c r="J10" s="11">
        <f>IF(I10="","",IF(I10&gt;=90,"优秀 A",IF(I10&gt;=80,"良好 B",IF(I10&gt;=70,"中等 C",IF(I10&gt;=60,"及格 D","不及格 F")))))</f>
        <v/>
      </c>
    </row>
    <row r="11">
      <c r="A11" s="9" t="n"/>
      <c r="B11" s="9" t="n"/>
      <c r="C11" s="9" t="n"/>
      <c r="D11" s="10" t="n"/>
      <c r="E11" s="10" t="n"/>
      <c r="F11" s="10" t="n"/>
      <c r="G11" s="10" t="n"/>
      <c r="H11" s="10" t="n"/>
      <c r="I11" s="11">
        <f>IF(COUNT(D11:H11)=0,"",SUM(D11:H11))</f>
        <v/>
      </c>
      <c r="J11" s="11">
        <f>IF(I11="","",IF(I11&gt;=90,"优秀 A",IF(I11&gt;=80,"良好 B",IF(I11&gt;=70,"中等 C",IF(I11&gt;=60,"及格 D","不及格 F")))))</f>
        <v/>
      </c>
    </row>
    <row r="12">
      <c r="A12" s="9" t="n"/>
      <c r="B12" s="9" t="n"/>
      <c r="C12" s="9" t="n"/>
      <c r="D12" s="10" t="n"/>
      <c r="E12" s="10" t="n"/>
      <c r="F12" s="10" t="n"/>
      <c r="G12" s="10" t="n"/>
      <c r="H12" s="10" t="n"/>
      <c r="I12" s="11">
        <f>IF(COUNT(D12:H12)=0,"",SUM(D12:H12))</f>
        <v/>
      </c>
      <c r="J12" s="11">
        <f>IF(I12="","",IF(I12&gt;=90,"优秀 A",IF(I12&gt;=80,"良好 B",IF(I12&gt;=70,"中等 C",IF(I12&gt;=60,"及格 D","不及格 F")))))</f>
        <v/>
      </c>
    </row>
    <row r="13">
      <c r="A13" s="9" t="n"/>
      <c r="B13" s="9" t="n"/>
      <c r="C13" s="9" t="n"/>
      <c r="D13" s="10" t="n"/>
      <c r="E13" s="10" t="n"/>
      <c r="F13" s="10" t="n"/>
      <c r="G13" s="10" t="n"/>
      <c r="H13" s="10" t="n"/>
      <c r="I13" s="11">
        <f>IF(COUNT(D13:H13)=0,"",SUM(D13:H13))</f>
        <v/>
      </c>
      <c r="J13" s="11">
        <f>IF(I13="","",IF(I13&gt;=90,"优秀 A",IF(I13&gt;=80,"良好 B",IF(I13&gt;=70,"中等 C",IF(I13&gt;=60,"及格 D","不及格 F")))))</f>
        <v/>
      </c>
    </row>
    <row r="14">
      <c r="A14" s="9" t="n"/>
      <c r="B14" s="9" t="n"/>
      <c r="C14" s="9" t="n"/>
      <c r="D14" s="10" t="n"/>
      <c r="E14" s="10" t="n"/>
      <c r="F14" s="10" t="n"/>
      <c r="G14" s="10" t="n"/>
      <c r="H14" s="10" t="n"/>
      <c r="I14" s="11">
        <f>IF(COUNT(D14:H14)=0,"",SUM(D14:H14))</f>
        <v/>
      </c>
      <c r="J14" s="11">
        <f>IF(I14="","",IF(I14&gt;=90,"优秀 A",IF(I14&gt;=80,"良好 B",IF(I14&gt;=70,"中等 C",IF(I14&gt;=60,"及格 D","不及格 F")))))</f>
        <v/>
      </c>
    </row>
    <row r="15">
      <c r="A15" s="9" t="n"/>
      <c r="B15" s="9" t="n"/>
      <c r="C15" s="9" t="n"/>
      <c r="D15" s="10" t="n"/>
      <c r="E15" s="10" t="n"/>
      <c r="F15" s="10" t="n"/>
      <c r="G15" s="10" t="n"/>
      <c r="H15" s="10" t="n"/>
      <c r="I15" s="11">
        <f>IF(COUNT(D15:H15)=0,"",SUM(D15:H15))</f>
        <v/>
      </c>
      <c r="J15" s="11">
        <f>IF(I15="","",IF(I15&gt;=90,"优秀 A",IF(I15&gt;=80,"良好 B",IF(I15&gt;=70,"中等 C",IF(I15&gt;=60,"及格 D","不及格 F")))))</f>
        <v/>
      </c>
    </row>
    <row r="16">
      <c r="A16" s="9" t="n"/>
      <c r="B16" s="9" t="n"/>
      <c r="C16" s="9" t="n"/>
      <c r="D16" s="10" t="n"/>
      <c r="E16" s="10" t="n"/>
      <c r="F16" s="10" t="n"/>
      <c r="G16" s="10" t="n"/>
      <c r="H16" s="10" t="n"/>
      <c r="I16" s="11">
        <f>IF(COUNT(D16:H16)=0,"",SUM(D16:H16))</f>
        <v/>
      </c>
      <c r="J16" s="11">
        <f>IF(I16="","",IF(I16&gt;=90,"优秀 A",IF(I16&gt;=80,"良好 B",IF(I16&gt;=70,"中等 C",IF(I16&gt;=60,"及格 D","不及格 F")))))</f>
        <v/>
      </c>
    </row>
    <row r="17">
      <c r="A17" s="9" t="n"/>
      <c r="B17" s="9" t="n"/>
      <c r="C17" s="9" t="n"/>
      <c r="D17" s="10" t="n"/>
      <c r="E17" s="10" t="n"/>
      <c r="F17" s="10" t="n"/>
      <c r="G17" s="10" t="n"/>
      <c r="H17" s="10" t="n"/>
      <c r="I17" s="11">
        <f>IF(COUNT(D17:H17)=0,"",SUM(D17:H17))</f>
        <v/>
      </c>
      <c r="J17" s="11">
        <f>IF(I17="","",IF(I17&gt;=90,"优秀 A",IF(I17&gt;=80,"良好 B",IF(I17&gt;=70,"中等 C",IF(I17&gt;=60,"及格 D","不及格 F")))))</f>
        <v/>
      </c>
    </row>
    <row r="18">
      <c r="A18" s="9" t="n"/>
      <c r="B18" s="9" t="n"/>
      <c r="C18" s="9" t="n"/>
      <c r="D18" s="10" t="n"/>
      <c r="E18" s="10" t="n"/>
      <c r="F18" s="10" t="n"/>
      <c r="G18" s="10" t="n"/>
      <c r="H18" s="10" t="n"/>
      <c r="I18" s="11">
        <f>IF(COUNT(D18:H18)=0,"",SUM(D18:H18))</f>
        <v/>
      </c>
      <c r="J18" s="11">
        <f>IF(I18="","",IF(I18&gt;=90,"优秀 A",IF(I18&gt;=80,"良好 B",IF(I18&gt;=70,"中等 C",IF(I18&gt;=60,"及格 D","不及格 F")))))</f>
        <v/>
      </c>
    </row>
    <row r="19">
      <c r="A19" s="9" t="n"/>
      <c r="B19" s="9" t="n"/>
      <c r="C19" s="9" t="n"/>
      <c r="D19" s="10" t="n"/>
      <c r="E19" s="10" t="n"/>
      <c r="F19" s="10" t="n"/>
      <c r="G19" s="10" t="n"/>
      <c r="H19" s="10" t="n"/>
      <c r="I19" s="11">
        <f>IF(COUNT(D19:H19)=0,"",SUM(D19:H19))</f>
        <v/>
      </c>
      <c r="J19" s="11">
        <f>IF(I19="","",IF(I19&gt;=90,"优秀 A",IF(I19&gt;=80,"良好 B",IF(I19&gt;=70,"中等 C",IF(I19&gt;=60,"及格 D","不及格 F")))))</f>
        <v/>
      </c>
    </row>
    <row r="20">
      <c r="A20" s="9" t="n"/>
      <c r="B20" s="9" t="n"/>
      <c r="C20" s="9" t="n"/>
      <c r="D20" s="10" t="n"/>
      <c r="E20" s="10" t="n"/>
      <c r="F20" s="10" t="n"/>
      <c r="G20" s="10" t="n"/>
      <c r="H20" s="10" t="n"/>
      <c r="I20" s="11">
        <f>IF(COUNT(D20:H20)=0,"",SUM(D20:H20))</f>
        <v/>
      </c>
      <c r="J20" s="11">
        <f>IF(I20="","",IF(I20&gt;=90,"优秀 A",IF(I20&gt;=80,"良好 B",IF(I20&gt;=70,"中等 C",IF(I20&gt;=60,"及格 D","不及格 F")))))</f>
        <v/>
      </c>
    </row>
    <row r="21">
      <c r="A21" s="9" t="n"/>
      <c r="B21" s="9" t="n"/>
      <c r="C21" s="9" t="n"/>
      <c r="D21" s="10" t="n"/>
      <c r="E21" s="10" t="n"/>
      <c r="F21" s="10" t="n"/>
      <c r="G21" s="10" t="n"/>
      <c r="H21" s="10" t="n"/>
      <c r="I21" s="11">
        <f>IF(COUNT(D21:H21)=0,"",SUM(D21:H21))</f>
        <v/>
      </c>
      <c r="J21" s="11">
        <f>IF(I21="","",IF(I21&gt;=90,"优秀 A",IF(I21&gt;=80,"良好 B",IF(I21&gt;=70,"中等 C",IF(I21&gt;=60,"及格 D","不及格 F")))))</f>
        <v/>
      </c>
    </row>
    <row r="22">
      <c r="A22" s="9" t="n"/>
      <c r="B22" s="9" t="n"/>
      <c r="C22" s="9" t="n"/>
      <c r="D22" s="10" t="n"/>
      <c r="E22" s="10" t="n"/>
      <c r="F22" s="10" t="n"/>
      <c r="G22" s="10" t="n"/>
      <c r="H22" s="10" t="n"/>
      <c r="I22" s="11">
        <f>IF(COUNT(D22:H22)=0,"",SUM(D22:H22))</f>
        <v/>
      </c>
      <c r="J22" s="11">
        <f>IF(I22="","",IF(I22&gt;=90,"优秀 A",IF(I22&gt;=80,"良好 B",IF(I22&gt;=70,"中等 C",IF(I22&gt;=60,"及格 D","不及格 F")))))</f>
        <v/>
      </c>
    </row>
    <row r="23">
      <c r="A23" s="9" t="n"/>
      <c r="B23" s="9" t="n"/>
      <c r="C23" s="9" t="n"/>
      <c r="D23" s="10" t="n"/>
      <c r="E23" s="10" t="n"/>
      <c r="F23" s="10" t="n"/>
      <c r="G23" s="10" t="n"/>
      <c r="H23" s="10" t="n"/>
      <c r="I23" s="11">
        <f>IF(COUNT(D23:H23)=0,"",SUM(D23:H23))</f>
        <v/>
      </c>
      <c r="J23" s="11">
        <f>IF(I23="","",IF(I23&gt;=90,"优秀 A",IF(I23&gt;=80,"良好 B",IF(I23&gt;=70,"中等 C",IF(I23&gt;=60,"及格 D","不及格 F")))))</f>
        <v/>
      </c>
    </row>
    <row r="24">
      <c r="A24" s="9" t="n"/>
      <c r="B24" s="9" t="n"/>
      <c r="C24" s="9" t="n"/>
      <c r="D24" s="10" t="n"/>
      <c r="E24" s="10" t="n"/>
      <c r="F24" s="10" t="n"/>
      <c r="G24" s="10" t="n"/>
      <c r="H24" s="10" t="n"/>
      <c r="I24" s="11">
        <f>IF(COUNT(D24:H24)=0,"",SUM(D24:H24))</f>
        <v/>
      </c>
      <c r="J24" s="11">
        <f>IF(I24="","",IF(I24&gt;=90,"优秀 A",IF(I24&gt;=80,"良好 B",IF(I24&gt;=70,"中等 C",IF(I24&gt;=60,"及格 D","不及格 F")))))</f>
        <v/>
      </c>
    </row>
    <row r="25">
      <c r="A25" s="9" t="n"/>
      <c r="B25" s="9" t="n"/>
      <c r="C25" s="9" t="n"/>
      <c r="D25" s="10" t="n"/>
      <c r="E25" s="10" t="n"/>
      <c r="F25" s="10" t="n"/>
      <c r="G25" s="10" t="n"/>
      <c r="H25" s="10" t="n"/>
      <c r="I25" s="11">
        <f>IF(COUNT(D25:H25)=0,"",SUM(D25:H25))</f>
        <v/>
      </c>
      <c r="J25" s="11">
        <f>IF(I25="","",IF(I25&gt;=90,"优秀 A",IF(I25&gt;=80,"良好 B",IF(I25&gt;=70,"中等 C",IF(I25&gt;=60,"及格 D","不及格 F")))))</f>
        <v/>
      </c>
    </row>
    <row r="26">
      <c r="A26" s="9" t="n"/>
      <c r="B26" s="9" t="n"/>
      <c r="C26" s="9" t="n"/>
      <c r="D26" s="10" t="n"/>
      <c r="E26" s="10" t="n"/>
      <c r="F26" s="10" t="n"/>
      <c r="G26" s="10" t="n"/>
      <c r="H26" s="10" t="n"/>
      <c r="I26" s="11">
        <f>IF(COUNT(D26:H26)=0,"",SUM(D26:H26))</f>
        <v/>
      </c>
      <c r="J26" s="11">
        <f>IF(I26="","",IF(I26&gt;=90,"优秀 A",IF(I26&gt;=80,"良好 B",IF(I26&gt;=70,"中等 C",IF(I26&gt;=60,"及格 D","不及格 F")))))</f>
        <v/>
      </c>
    </row>
    <row r="27">
      <c r="A27" s="9" t="n"/>
      <c r="B27" s="9" t="n"/>
      <c r="C27" s="9" t="n"/>
      <c r="D27" s="10" t="n"/>
      <c r="E27" s="10" t="n"/>
      <c r="F27" s="10" t="n"/>
      <c r="G27" s="10" t="n"/>
      <c r="H27" s="10" t="n"/>
      <c r="I27" s="11">
        <f>IF(COUNT(D27:H27)=0,"",SUM(D27:H27))</f>
        <v/>
      </c>
      <c r="J27" s="11">
        <f>IF(I27="","",IF(I27&gt;=90,"优秀 A",IF(I27&gt;=80,"良好 B",IF(I27&gt;=70,"中等 C",IF(I27&gt;=60,"及格 D","不及格 F")))))</f>
        <v/>
      </c>
    </row>
    <row r="28">
      <c r="A28" s="9" t="n"/>
      <c r="B28" s="9" t="n"/>
      <c r="C28" s="9" t="n"/>
      <c r="D28" s="10" t="n"/>
      <c r="E28" s="10" t="n"/>
      <c r="F28" s="10" t="n"/>
      <c r="G28" s="10" t="n"/>
      <c r="H28" s="10" t="n"/>
      <c r="I28" s="11">
        <f>IF(COUNT(D28:H28)=0,"",SUM(D28:H28))</f>
        <v/>
      </c>
      <c r="J28" s="11">
        <f>IF(I28="","",IF(I28&gt;=90,"优秀 A",IF(I28&gt;=80,"良好 B",IF(I28&gt;=70,"中等 C",IF(I28&gt;=60,"及格 D","不及格 F")))))</f>
        <v/>
      </c>
    </row>
    <row r="29">
      <c r="A29" s="9" t="n"/>
      <c r="B29" s="9" t="n"/>
      <c r="C29" s="9" t="n"/>
      <c r="D29" s="10" t="n"/>
      <c r="E29" s="10" t="n"/>
      <c r="F29" s="10" t="n"/>
      <c r="G29" s="10" t="n"/>
      <c r="H29" s="10" t="n"/>
      <c r="I29" s="11">
        <f>IF(COUNT(D29:H29)=0,"",SUM(D29:H29))</f>
        <v/>
      </c>
      <c r="J29" s="11">
        <f>IF(I29="","",IF(I29&gt;=90,"优秀 A",IF(I29&gt;=80,"良好 B",IF(I29&gt;=70,"中等 C",IF(I29&gt;=60,"及格 D","不及格 F")))))</f>
        <v/>
      </c>
    </row>
    <row r="30">
      <c r="A30" s="9" t="n"/>
      <c r="B30" s="9" t="n"/>
      <c r="C30" s="9" t="n"/>
      <c r="D30" s="10" t="n"/>
      <c r="E30" s="10" t="n"/>
      <c r="F30" s="10" t="n"/>
      <c r="G30" s="10" t="n"/>
      <c r="H30" s="10" t="n"/>
      <c r="I30" s="11">
        <f>IF(COUNT(D30:H30)=0,"",SUM(D30:H30))</f>
        <v/>
      </c>
      <c r="J30" s="11">
        <f>IF(I30="","",IF(I30&gt;=90,"优秀 A",IF(I30&gt;=80,"良好 B",IF(I30&gt;=70,"中等 C",IF(I30&gt;=60,"及格 D","不及格 F")))))</f>
        <v/>
      </c>
    </row>
    <row r="31">
      <c r="A31" s="9" t="n"/>
      <c r="B31" s="9" t="n"/>
      <c r="C31" s="9" t="n"/>
      <c r="D31" s="10" t="n"/>
      <c r="E31" s="10" t="n"/>
      <c r="F31" s="10" t="n"/>
      <c r="G31" s="10" t="n"/>
      <c r="H31" s="10" t="n"/>
      <c r="I31" s="11">
        <f>IF(COUNT(D31:H31)=0,"",SUM(D31:H31))</f>
        <v/>
      </c>
      <c r="J31" s="11">
        <f>IF(I31="","",IF(I31&gt;=90,"优秀 A",IF(I31&gt;=80,"良好 B",IF(I31&gt;=70,"中等 C",IF(I31&gt;=60,"及格 D","不及格 F")))))</f>
        <v/>
      </c>
    </row>
    <row r="32">
      <c r="A32" s="9" t="n"/>
      <c r="B32" s="9" t="n"/>
      <c r="C32" s="9" t="n"/>
      <c r="D32" s="10" t="n"/>
      <c r="E32" s="10" t="n"/>
      <c r="F32" s="10" t="n"/>
      <c r="G32" s="10" t="n"/>
      <c r="H32" s="10" t="n"/>
      <c r="I32" s="11">
        <f>IF(COUNT(D32:H32)=0,"",SUM(D32:H32))</f>
        <v/>
      </c>
      <c r="J32" s="11">
        <f>IF(I32="","",IF(I32&gt;=90,"优秀 A",IF(I32&gt;=80,"良好 B",IF(I32&gt;=70,"中等 C",IF(I32&gt;=60,"及格 D","不及格 F")))))</f>
        <v/>
      </c>
    </row>
    <row r="33">
      <c r="A33" s="9" t="n"/>
      <c r="B33" s="9" t="n"/>
      <c r="C33" s="9" t="n"/>
      <c r="D33" s="10" t="n"/>
      <c r="E33" s="10" t="n"/>
      <c r="F33" s="10" t="n"/>
      <c r="G33" s="10" t="n"/>
      <c r="H33" s="10" t="n"/>
      <c r="I33" s="11">
        <f>IF(COUNT(D33:H33)=0,"",SUM(D33:H33))</f>
        <v/>
      </c>
      <c r="J33" s="11">
        <f>IF(I33="","",IF(I33&gt;=90,"优秀 A",IF(I33&gt;=80,"良好 B",IF(I33&gt;=70,"中等 C",IF(I33&gt;=60,"及格 D","不及格 F")))))</f>
        <v/>
      </c>
    </row>
    <row r="34">
      <c r="A34" s="9" t="n"/>
      <c r="B34" s="9" t="n"/>
      <c r="C34" s="9" t="n"/>
      <c r="D34" s="10" t="n"/>
      <c r="E34" s="10" t="n"/>
      <c r="F34" s="10" t="n"/>
      <c r="G34" s="10" t="n"/>
      <c r="H34" s="10" t="n"/>
      <c r="I34" s="11">
        <f>IF(COUNT(D34:H34)=0,"",SUM(D34:H34))</f>
        <v/>
      </c>
      <c r="J34" s="11">
        <f>IF(I34="","",IF(I34&gt;=90,"优秀 A",IF(I34&gt;=80,"良好 B",IF(I34&gt;=70,"中等 C",IF(I34&gt;=60,"及格 D","不及格 F")))))</f>
        <v/>
      </c>
    </row>
    <row r="35">
      <c r="A35" s="9" t="n"/>
      <c r="B35" s="9" t="n"/>
      <c r="C35" s="9" t="n"/>
      <c r="D35" s="10" t="n"/>
      <c r="E35" s="10" t="n"/>
      <c r="F35" s="10" t="n"/>
      <c r="G35" s="10" t="n"/>
      <c r="H35" s="10" t="n"/>
      <c r="I35" s="11">
        <f>IF(COUNT(D35:H35)=0,"",SUM(D35:H35))</f>
        <v/>
      </c>
      <c r="J35" s="11">
        <f>IF(I35="","",IF(I35&gt;=90,"优秀 A",IF(I35&gt;=80,"良好 B",IF(I35&gt;=70,"中等 C",IF(I35&gt;=60,"及格 D","不及格 F")))))</f>
        <v/>
      </c>
    </row>
    <row r="36">
      <c r="A36" s="9" t="n"/>
      <c r="B36" s="9" t="n"/>
      <c r="C36" s="9" t="n"/>
      <c r="D36" s="10" t="n"/>
      <c r="E36" s="10" t="n"/>
      <c r="F36" s="10" t="n"/>
      <c r="G36" s="10" t="n"/>
      <c r="H36" s="10" t="n"/>
      <c r="I36" s="11">
        <f>IF(COUNT(D36:H36)=0,"",SUM(D36:H36))</f>
        <v/>
      </c>
      <c r="J36" s="11">
        <f>IF(I36="","",IF(I36&gt;=90,"优秀 A",IF(I36&gt;=80,"良好 B",IF(I36&gt;=70,"中等 C",IF(I36&gt;=60,"及格 D","不及格 F")))))</f>
        <v/>
      </c>
    </row>
    <row r="37">
      <c r="A37" s="9" t="n"/>
      <c r="B37" s="9" t="n"/>
      <c r="C37" s="9" t="n"/>
      <c r="D37" s="10" t="n"/>
      <c r="E37" s="10" t="n"/>
      <c r="F37" s="10" t="n"/>
      <c r="G37" s="10" t="n"/>
      <c r="H37" s="10" t="n"/>
      <c r="I37" s="11">
        <f>IF(COUNT(D37:H37)=0,"",SUM(D37:H37))</f>
        <v/>
      </c>
      <c r="J37" s="11">
        <f>IF(I37="","",IF(I37&gt;=90,"优秀 A",IF(I37&gt;=80,"良好 B",IF(I37&gt;=70,"中等 C",IF(I37&gt;=60,"及格 D","不及格 F")))))</f>
        <v/>
      </c>
    </row>
    <row r="38">
      <c r="A38" s="9" t="n"/>
      <c r="B38" s="9" t="n"/>
      <c r="C38" s="9" t="n"/>
      <c r="D38" s="10" t="n"/>
      <c r="E38" s="10" t="n"/>
      <c r="F38" s="10" t="n"/>
      <c r="G38" s="10" t="n"/>
      <c r="H38" s="10" t="n"/>
      <c r="I38" s="11">
        <f>IF(COUNT(D38:H38)=0,"",SUM(D38:H38))</f>
        <v/>
      </c>
      <c r="J38" s="11">
        <f>IF(I38="","",IF(I38&gt;=90,"优秀 A",IF(I38&gt;=80,"良好 B",IF(I38&gt;=70,"中等 C",IF(I38&gt;=60,"及格 D","不及格 F")))))</f>
        <v/>
      </c>
    </row>
    <row r="39">
      <c r="A39" s="9" t="n"/>
      <c r="B39" s="9" t="n"/>
      <c r="C39" s="9" t="n"/>
      <c r="D39" s="10" t="n"/>
      <c r="E39" s="10" t="n"/>
      <c r="F39" s="10" t="n"/>
      <c r="G39" s="10" t="n"/>
      <c r="H39" s="10" t="n"/>
      <c r="I39" s="11">
        <f>IF(COUNT(D39:H39)=0,"",SUM(D39:H39))</f>
        <v/>
      </c>
      <c r="J39" s="11">
        <f>IF(I39="","",IF(I39&gt;=90,"优秀 A",IF(I39&gt;=80,"良好 B",IF(I39&gt;=70,"中等 C",IF(I39&gt;=60,"及格 D","不及格 F")))))</f>
        <v/>
      </c>
    </row>
    <row r="40">
      <c r="A40" s="9" t="n"/>
      <c r="B40" s="9" t="n"/>
      <c r="C40" s="9" t="n"/>
      <c r="D40" s="10" t="n"/>
      <c r="E40" s="10" t="n"/>
      <c r="F40" s="10" t="n"/>
      <c r="G40" s="10" t="n"/>
      <c r="H40" s="10" t="n"/>
      <c r="I40" s="11">
        <f>IF(COUNT(D40:H40)=0,"",SUM(D40:H40))</f>
        <v/>
      </c>
      <c r="J40" s="11">
        <f>IF(I40="","",IF(I40&gt;=90,"优秀 A",IF(I40&gt;=80,"良好 B",IF(I40&gt;=70,"中等 C",IF(I40&gt;=60,"及格 D","不及格 F")))))</f>
        <v/>
      </c>
    </row>
    <row r="41">
      <c r="A41" s="9" t="n"/>
      <c r="B41" s="9" t="n"/>
      <c r="C41" s="9" t="n"/>
      <c r="D41" s="10" t="n"/>
      <c r="E41" s="10" t="n"/>
      <c r="F41" s="10" t="n"/>
      <c r="G41" s="10" t="n"/>
      <c r="H41" s="10" t="n"/>
      <c r="I41" s="11">
        <f>IF(COUNT(D41:H41)=0,"",SUM(D41:H41))</f>
        <v/>
      </c>
      <c r="J41" s="11">
        <f>IF(I41="","",IF(I41&gt;=90,"优秀 A",IF(I41&gt;=80,"良好 B",IF(I41&gt;=70,"中等 C",IF(I41&gt;=60,"及格 D","不及格 F")))))</f>
        <v/>
      </c>
    </row>
    <row r="42">
      <c r="A42" s="9" t="n"/>
      <c r="B42" s="9" t="n"/>
      <c r="C42" s="9" t="n"/>
      <c r="D42" s="10" t="n"/>
      <c r="E42" s="10" t="n"/>
      <c r="F42" s="10" t="n"/>
      <c r="G42" s="10" t="n"/>
      <c r="H42" s="10" t="n"/>
      <c r="I42" s="11">
        <f>IF(COUNT(D42:H42)=0,"",SUM(D42:H42))</f>
        <v/>
      </c>
      <c r="J42" s="11">
        <f>IF(I42="","",IF(I42&gt;=90,"优秀 A",IF(I42&gt;=80,"良好 B",IF(I42&gt;=70,"中等 C",IF(I42&gt;=60,"及格 D","不及格 F")))))</f>
        <v/>
      </c>
    </row>
    <row r="43">
      <c r="A43" s="9" t="n"/>
      <c r="B43" s="9" t="n"/>
      <c r="C43" s="9" t="n"/>
      <c r="D43" s="10" t="n"/>
      <c r="E43" s="10" t="n"/>
      <c r="F43" s="10" t="n"/>
      <c r="G43" s="10" t="n"/>
      <c r="H43" s="10" t="n"/>
      <c r="I43" s="11">
        <f>IF(COUNT(D43:H43)=0,"",SUM(D43:H43))</f>
        <v/>
      </c>
      <c r="J43" s="11">
        <f>IF(I43="","",IF(I43&gt;=90,"优秀 A",IF(I43&gt;=80,"良好 B",IF(I43&gt;=70,"中等 C",IF(I43&gt;=60,"及格 D","不及格 F")))))</f>
        <v/>
      </c>
    </row>
  </sheetData>
  <dataValidations count="1">
    <dataValidation sqref="C4 C5 C6 C7 C8 C9 C10 C11 C12 C13 C14 C15 C16 C17 C18 C19 C20 C21 C22 C23 C24 C25 C26 C27 C28 C29 C30 C31 C32 C33 C34 C35 C36 C37 C38 C39 C40 C41 C42 C43" showDropDown="0" showInputMessage="0" showErrorMessage="0" allowBlank="1" type="list">
      <formula1>"1.1,1.2,1.3,1.4,1.5"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2026-09-28T14:21:29Z</dcterms:created>
  <dcterms:modified xmlns:dcterms="http://purl.org/dc/terms/" xmlns:xsi="http://www.w3.org/2001/XMLSchema-instance" xsi:type="dcterms:W3CDTF">2026-09-28T14:21:29Z</dcterms:modified>
</cp:coreProperties>
</file>